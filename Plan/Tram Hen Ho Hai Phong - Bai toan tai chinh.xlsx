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toán 30 khách" sheetId="1" state="visible" r:id="rId1"/>
    <sheet xmlns:r="http://schemas.openxmlformats.org/officeDocument/2006/relationships" name="Bài toán 20 khách" sheetId="2" state="visible" r:id="rId2"/>
    <sheet xmlns:r="http://schemas.openxmlformats.org/officeDocument/2006/relationships" name="So sánh hiệu qu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VNĐ&quot;"/>
    <numFmt numFmtId="165" formatCode="0.0%"/>
  </numFmts>
  <fonts count="6">
    <font>
      <name val="Calibri"/>
      <family val="2"/>
      <color theme="1"/>
      <sz val="11"/>
      <scheme val="minor"/>
    </font>
    <font>
      <name val="Times New Roman"/>
      <b val="1"/>
      <color rgb="00B42846"/>
      <sz val="15"/>
    </font>
    <font>
      <name val="Times New Roman"/>
      <b val="1"/>
      <color rgb="00FFFFFF"/>
      <sz val="10"/>
    </font>
    <font>
      <name val="Times New Roman"/>
      <sz val="11"/>
    </font>
    <font>
      <name val="Times New Roman"/>
      <b val="1"/>
      <sz val="11"/>
    </font>
    <font>
      <name val="Times New Roman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B42846"/>
        <bgColor rgb="00B42846"/>
      </patternFill>
    </fill>
    <fill>
      <patternFill patternType="solid">
        <fgColor rgb="00FFE5E5"/>
        <bgColor rgb="00FFE5E5"/>
      </patternFill>
    </fill>
    <fill>
      <patternFill patternType="solid">
        <fgColor rgb="00F9F9F9"/>
        <bgColor rgb="00F9F9F9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333333"/>
      </bottom>
    </border>
    <border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3" pivotButton="0" quotePrefix="0" xfId="0"/>
    <xf numFmtId="0" fontId="3" fillId="0" borderId="3" pivotButton="0" quotePrefix="0" xfId="0"/>
    <xf numFmtId="0" fontId="0" fillId="0" borderId="3" pivotButton="0" quotePrefix="0" xfId="0"/>
    <xf numFmtId="164" fontId="4" fillId="0" borderId="2" pivotButton="0" quotePrefix="0" xfId="0"/>
    <xf numFmtId="164" fontId="4" fillId="3" borderId="2" pivotButton="0" quotePrefix="0" xfId="0"/>
    <xf numFmtId="165" fontId="4" fillId="0" borderId="2" pivotButton="0" quotePrefix="0" xfId="0"/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2" customWidth="1" min="2" max="2"/>
    <col width="22" customWidth="1" min="3" max="3"/>
    <col width="16" customWidth="1" min="4" max="4"/>
  </cols>
  <sheetData>
    <row r="1" ht="30" customHeight="1">
      <c r="A1" s="1" t="inlineStr">
        <is>
          <t>DỰ TOÁN DOANH THU &amp; CHI PHÍ - QUY MÔ 30 KHÁCH</t>
        </is>
      </c>
    </row>
    <row r="2"/>
    <row r="3">
      <c r="A3" s="2" t="inlineStr">
        <is>
          <t>Hạng mục</t>
        </is>
      </c>
      <c r="B3" s="2" t="inlineStr">
        <is>
          <t>Chi tiết</t>
        </is>
      </c>
      <c r="C3" s="3" t="inlineStr">
        <is>
          <t>Đơn giá / Số lượng</t>
        </is>
      </c>
      <c r="D3" s="3" t="inlineStr">
        <is>
          <t>Thành tiền</t>
        </is>
      </c>
    </row>
    <row r="4">
      <c r="A4" s="4" t="inlineStr">
        <is>
          <t>Giá vé</t>
        </is>
      </c>
      <c r="B4" s="5" t="inlineStr">
        <is>
          <t>Đơn giá mỗi vé tham gia</t>
        </is>
      </c>
      <c r="C4" s="6" t="n">
        <v>499000</v>
      </c>
      <c r="D4" s="7" t="n"/>
    </row>
    <row r="5">
      <c r="A5" s="4" t="inlineStr">
        <is>
          <t>Số lượng khách</t>
        </is>
      </c>
      <c r="B5" s="5" t="inlineStr">
        <is>
          <t>Tổng số khách (15 Nam &amp; 15 Nữ)</t>
        </is>
      </c>
      <c r="C5" s="5" t="n">
        <v>30</v>
      </c>
      <c r="D5" s="7" t="n"/>
    </row>
    <row r="6">
      <c r="A6" s="8" t="inlineStr">
        <is>
          <t>TỔNG DOANH THU</t>
        </is>
      </c>
      <c r="B6" s="9" t="inlineStr">
        <is>
          <t>30 khách x Giá vé</t>
        </is>
      </c>
      <c r="C6" s="9">
        <f>C5</f>
        <v/>
      </c>
      <c r="D6" s="10">
        <f>C4*C5</f>
        <v/>
      </c>
    </row>
    <row r="7"/>
    <row r="8">
      <c r="A8" s="11" t="inlineStr">
        <is>
          <t>Chi phí F&amp;B (Nước + Teabreak)</t>
        </is>
      </c>
      <c r="B8" s="11" t="inlineStr">
        <is>
          <t>30 phần x 80.000 VNĐ</t>
        </is>
      </c>
      <c r="C8" s="12">
        <f>C5</f>
        <v/>
      </c>
      <c r="D8" s="13">
        <f>C8*80000</f>
        <v/>
      </c>
    </row>
    <row r="9">
      <c r="A9" s="5" t="inlineStr">
        <is>
          <t>Quà tặng lưu niệm (Nến thơm/Sách)</t>
        </is>
      </c>
      <c r="B9" s="5" t="inlineStr">
        <is>
          <t>30 phần x 40.000 VNĐ</t>
        </is>
      </c>
      <c r="C9" s="14">
        <f>C5</f>
        <v/>
      </c>
      <c r="D9" s="15">
        <f>C9*40000</f>
        <v/>
      </c>
    </row>
    <row r="10">
      <c r="A10" s="11" t="inlineStr">
        <is>
          <t>In ấn Match Card, Prompt Card</t>
        </is>
      </c>
      <c r="B10" s="11" t="inlineStr">
        <is>
          <t>Bản in màu + Bút viết</t>
        </is>
      </c>
      <c r="C10" s="12" t="n">
        <v>1</v>
      </c>
      <c r="D10" s="13" t="n">
        <v>300000</v>
      </c>
    </row>
    <row r="11">
      <c r="A11" s="5" t="inlineStr">
        <is>
          <t>Thuê địa điểm (Lounge/Cafe VIP)</t>
        </is>
      </c>
      <c r="B11" s="5" t="inlineStr">
        <is>
          <t>Gói bao trọn khu vực riêng (3 giờ)</t>
        </is>
      </c>
      <c r="C11" s="14" t="n">
        <v>1</v>
      </c>
      <c r="D11" s="15" t="n">
        <v>2500000</v>
      </c>
    </row>
    <row r="12">
      <c r="A12" s="11" t="inlineStr">
        <is>
          <t>Thù lao MC/Host dẫn dắt</t>
        </is>
      </c>
      <c r="B12" s="11" t="inlineStr">
        <is>
          <t>Nhân sự chuyên nghiệp</t>
        </is>
      </c>
      <c r="C12" s="12" t="n">
        <v>1</v>
      </c>
      <c r="D12" s="13" t="n">
        <v>1200000</v>
      </c>
    </row>
    <row r="13">
      <c r="A13" s="5" t="inlineStr">
        <is>
          <t>Marketing &amp; Lọc hồ sơ</t>
        </is>
      </c>
      <c r="B13" s="5" t="inlineStr">
        <is>
          <t>Chạy quảng cáo Facebook Ads + Telesale</t>
        </is>
      </c>
      <c r="C13" s="14" t="n">
        <v>1</v>
      </c>
      <c r="D13" s="15" t="n">
        <v>2500000</v>
      </c>
    </row>
    <row r="14">
      <c r="A14" s="11" t="inlineStr">
        <is>
          <t>Nhân sự điều phối/Đón khách</t>
        </is>
      </c>
      <c r="B14" s="11" t="inlineStr">
        <is>
          <t>2 bạn hỗ trợ check-in, xoay bàn</t>
        </is>
      </c>
      <c r="C14" s="12" t="n">
        <v>1</v>
      </c>
      <c r="D14" s="13" t="n">
        <v>600000</v>
      </c>
    </row>
    <row r="15">
      <c r="A15" s="16" t="inlineStr">
        <is>
          <t>TỔNG CHI PHÍ</t>
        </is>
      </c>
      <c r="B15" s="17" t="inlineStr">
        <is>
          <t>Chi phí Biến đổi + Cố định</t>
        </is>
      </c>
      <c r="C15" s="18" t="n"/>
      <c r="D15" s="19">
        <f>SUM(D8:D14)</f>
        <v/>
      </c>
    </row>
    <row r="16">
      <c r="A16" s="16" t="inlineStr">
        <is>
          <t>LỢI NHUẬN RÒNG/EVENT</t>
        </is>
      </c>
      <c r="B16" s="17" t="inlineStr">
        <is>
          <t>Doanh thu - Chi phí</t>
        </is>
      </c>
      <c r="C16" s="18" t="n"/>
      <c r="D16" s="20">
        <f>D6-D15</f>
        <v/>
      </c>
    </row>
    <row r="17">
      <c r="A17" s="16" t="inlineStr">
        <is>
          <t>TỶ SUẤT LỢI NHUẬN</t>
        </is>
      </c>
      <c r="B17" s="17" t="inlineStr">
        <is>
          <t>Lợi nhuận ròng / Doanh thu</t>
        </is>
      </c>
      <c r="C17" s="18" t="n"/>
      <c r="D17" s="21">
        <f>D16/D6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2" customWidth="1" min="2" max="2"/>
    <col width="22" customWidth="1" min="3" max="3"/>
    <col width="16" customWidth="1" min="4" max="4"/>
  </cols>
  <sheetData>
    <row r="1" ht="30" customHeight="1">
      <c r="A1" s="1" t="inlineStr">
        <is>
          <t>DỰ TOÁN DOANH THU &amp; CHI PHÍ - QUY MÔ 20 KHÁCH</t>
        </is>
      </c>
    </row>
    <row r="2"/>
    <row r="3">
      <c r="A3" s="2" t="inlineStr">
        <is>
          <t>Hạng mục</t>
        </is>
      </c>
      <c r="B3" s="2" t="inlineStr">
        <is>
          <t>Chi tiết</t>
        </is>
      </c>
      <c r="C3" s="3" t="inlineStr">
        <is>
          <t>Đơn giá / Số lượng</t>
        </is>
      </c>
      <c r="D3" s="3" t="inlineStr">
        <is>
          <t>Thành tiền</t>
        </is>
      </c>
    </row>
    <row r="4">
      <c r="A4" s="4" t="inlineStr">
        <is>
          <t>Giá vé</t>
        </is>
      </c>
      <c r="B4" s="5" t="inlineStr">
        <is>
          <t>Đơn giá mỗi vé tham gia</t>
        </is>
      </c>
      <c r="C4" s="6" t="n">
        <v>499000</v>
      </c>
      <c r="D4" s="7" t="n"/>
    </row>
    <row r="5">
      <c r="A5" s="4" t="inlineStr">
        <is>
          <t>Số lượng khách</t>
        </is>
      </c>
      <c r="B5" s="5" t="inlineStr">
        <is>
          <t>Tổng số khách (10 Nam &amp; 10 Nữ)</t>
        </is>
      </c>
      <c r="C5" s="5" t="n">
        <v>20</v>
      </c>
      <c r="D5" s="7" t="n"/>
    </row>
    <row r="6">
      <c r="A6" s="8" t="inlineStr">
        <is>
          <t>TỔNG DOANH THU</t>
        </is>
      </c>
      <c r="B6" s="9" t="inlineStr">
        <is>
          <t>20 khách x Giá vé</t>
        </is>
      </c>
      <c r="C6" s="9">
        <f>C5</f>
        <v/>
      </c>
      <c r="D6" s="10">
        <f>C4*C5</f>
        <v/>
      </c>
    </row>
    <row r="7"/>
    <row r="8">
      <c r="A8" s="11" t="inlineStr">
        <is>
          <t>Chi phí F&amp;B (Nước + Teabreak)</t>
        </is>
      </c>
      <c r="B8" s="11" t="inlineStr">
        <is>
          <t>20 phần x 80.000 VNĐ</t>
        </is>
      </c>
      <c r="C8" s="12">
        <f>C5</f>
        <v/>
      </c>
      <c r="D8" s="13">
        <f>C8*80000</f>
        <v/>
      </c>
    </row>
    <row r="9">
      <c r="A9" s="5" t="inlineStr">
        <is>
          <t>Quà tặng lưu niệm (Nến thơm/Sách)</t>
        </is>
      </c>
      <c r="B9" s="5" t="inlineStr">
        <is>
          <t>20 phần x 40.000 VNĐ</t>
        </is>
      </c>
      <c r="C9" s="14">
        <f>C5</f>
        <v/>
      </c>
      <c r="D9" s="15">
        <f>C9*40000</f>
        <v/>
      </c>
    </row>
    <row r="10">
      <c r="A10" s="11" t="inlineStr">
        <is>
          <t>In ấn Match Card, Prompt Card</t>
        </is>
      </c>
      <c r="B10" s="11" t="inlineStr">
        <is>
          <t>Bản in màu + Bút viết</t>
        </is>
      </c>
      <c r="C10" s="12" t="n">
        <v>1</v>
      </c>
      <c r="D10" s="13" t="n">
        <v>200000</v>
      </c>
    </row>
    <row r="11">
      <c r="A11" s="5" t="inlineStr">
        <is>
          <t>Thuê địa điểm (Phòng VIP/Lounge nhỏ)</t>
        </is>
      </c>
      <c r="B11" s="5" t="inlineStr">
        <is>
          <t>Bao trọn khu vực riêng quy mô 20 người</t>
        </is>
      </c>
      <c r="C11" s="14" t="n">
        <v>1</v>
      </c>
      <c r="D11" s="15" t="n">
        <v>2000000</v>
      </c>
    </row>
    <row r="12">
      <c r="A12" s="11" t="inlineStr">
        <is>
          <t>Thù lao MC/Host dẫn dắt</t>
        </is>
      </c>
      <c r="B12" s="11" t="inlineStr">
        <is>
          <t>Nhân sự chuyên nghiệp</t>
        </is>
      </c>
      <c r="C12" s="12" t="n">
        <v>1</v>
      </c>
      <c r="D12" s="13" t="n">
        <v>1200000</v>
      </c>
    </row>
    <row r="13">
      <c r="A13" s="5" t="inlineStr">
        <is>
          <t>Marketing &amp; Lọc hồ sơ</t>
        </is>
      </c>
      <c r="B13" s="5" t="inlineStr">
        <is>
          <t>Chi phí quảng cáo &amp; telesale chọn lọc</t>
        </is>
      </c>
      <c r="C13" s="14" t="n">
        <v>1</v>
      </c>
      <c r="D13" s="15" t="n">
        <v>1800000</v>
      </c>
    </row>
    <row r="14">
      <c r="A14" s="11" t="inlineStr">
        <is>
          <t>Nhân sự điều phối/Đón khách</t>
        </is>
      </c>
      <c r="B14" s="11" t="inlineStr">
        <is>
          <t>1 bạn hỗ trợ check-in, xoay bàn</t>
        </is>
      </c>
      <c r="C14" s="12" t="n">
        <v>1</v>
      </c>
      <c r="D14" s="13" t="n">
        <v>300000</v>
      </c>
    </row>
    <row r="15">
      <c r="A15" s="16" t="inlineStr">
        <is>
          <t>TỔNG CHI PHÍ</t>
        </is>
      </c>
      <c r="B15" s="17" t="inlineStr">
        <is>
          <t>Chi phí Biến đổi + Cố định</t>
        </is>
      </c>
      <c r="C15" s="18" t="n"/>
      <c r="D15" s="19">
        <f>SUM(D8:D14)</f>
        <v/>
      </c>
    </row>
    <row r="16">
      <c r="A16" s="16" t="inlineStr">
        <is>
          <t>LỢI NHUẬN RÒNG/EVENT</t>
        </is>
      </c>
      <c r="B16" s="17" t="inlineStr">
        <is>
          <t>Doanh thu - Chi phí</t>
        </is>
      </c>
      <c r="C16" s="18" t="n"/>
      <c r="D16" s="20">
        <f>D6-D15</f>
        <v/>
      </c>
    </row>
    <row r="17">
      <c r="A17" s="16" t="inlineStr">
        <is>
          <t>TỶ SUẤT LỢI NHUẬN</t>
        </is>
      </c>
      <c r="B17" s="17" t="inlineStr">
        <is>
          <t>Lợi nhuận ròng / Doanh thu</t>
        </is>
      </c>
      <c r="C17" s="18" t="n"/>
      <c r="D17" s="21">
        <f>D16/D6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5" customWidth="1" min="1" max="1"/>
    <col width="20" customWidth="1" min="2" max="2"/>
    <col width="27" customWidth="1" min="3" max="3"/>
    <col width="70" customWidth="1" min="4" max="4"/>
    <col width="28" customWidth="1" min="5" max="5"/>
    <col width="28" customWidth="1" min="6" max="6"/>
  </cols>
  <sheetData>
    <row r="1" ht="30" customHeight="1">
      <c r="A1" s="1" t="inlineStr">
        <is>
          <t>BẢNG SO SÁNH HIỆU QUẢ KINH DOANH THEO QUY MÔ &amp; GIÁ VÉ</t>
        </is>
      </c>
    </row>
    <row r="2"/>
    <row r="3">
      <c r="A3" s="3" t="inlineStr">
        <is>
          <t>Quy mô khách</t>
        </is>
      </c>
      <c r="B3" s="3" t="inlineStr">
        <is>
          <t>Giá vé tham khảo</t>
        </is>
      </c>
      <c r="C3" s="3" t="inlineStr">
        <is>
          <t>Doanh thu dự kiến</t>
        </is>
      </c>
      <c r="D3" s="3" t="inlineStr">
        <is>
          <t>Chi phí dự kiến</t>
        </is>
      </c>
      <c r="E3" s="3" t="inlineStr">
        <is>
          <t>Lợi nhuận ròng</t>
        </is>
      </c>
      <c r="F3" s="3" t="inlineStr">
        <is>
          <t>Tỷ suất lợi nhuận</t>
        </is>
      </c>
    </row>
    <row r="4">
      <c r="A4" s="22" t="inlineStr">
        <is>
          <t>20 khách (10 cặp)</t>
        </is>
      </c>
      <c r="B4" s="13" t="n">
        <v>499000</v>
      </c>
      <c r="C4" s="13">
        <f>'Bài toán 20 khách'!D6</f>
        <v/>
      </c>
      <c r="D4" s="13">
        <f>'Bài toán 20 khách'!D15</f>
        <v/>
      </c>
      <c r="E4" s="23">
        <f>'Bài toán 20 khách'!D16</f>
        <v/>
      </c>
      <c r="F4" s="24">
        <f>'Bài toán 20 khách'!D17</f>
        <v/>
      </c>
    </row>
    <row r="5">
      <c r="A5" s="25" t="inlineStr">
        <is>
          <t>20 khách (10 cặp)</t>
        </is>
      </c>
      <c r="B5" s="15" t="n">
        <v>690000</v>
      </c>
      <c r="C5" s="15">
        <f>B5*20</f>
        <v/>
      </c>
      <c r="D5" s="15">
        <f>2000*20 + 1000*20 + 200000 + 2000000 + 1200000 + 1800000 + 300000</f>
        <v/>
      </c>
      <c r="E5" s="26">
        <f>C5-D5</f>
        <v/>
      </c>
      <c r="F5" s="27">
        <f>E5/C5</f>
        <v/>
      </c>
    </row>
    <row r="6">
      <c r="A6" s="22" t="inlineStr">
        <is>
          <t>30 khách (15 cặp)</t>
        </is>
      </c>
      <c r="B6" s="13" t="n">
        <v>499000</v>
      </c>
      <c r="C6" s="13">
        <f>'Bài toán 30 khách'!D6</f>
        <v/>
      </c>
      <c r="D6" s="13">
        <f>'Bài toán 30 khách'!D15</f>
        <v/>
      </c>
      <c r="E6" s="23">
        <f>'Bài toán 30 khách'!D16</f>
        <v/>
      </c>
      <c r="F6" s="24">
        <f>'Bài toán 30 khách'!D17</f>
        <v/>
      </c>
    </row>
    <row r="7">
      <c r="A7" s="25" t="inlineStr">
        <is>
          <t>30 khách (15 cặp)</t>
        </is>
      </c>
      <c r="B7" s="15" t="n">
        <v>690000</v>
      </c>
      <c r="C7" s="15">
        <f>B7*30</f>
        <v/>
      </c>
      <c r="D7" s="15">
        <f>3000*30 + 1500*30 + 300000 + 2500000 + 1200000 + 2500000 + 600000</f>
        <v/>
      </c>
      <c r="E7" s="26">
        <f>C7-D7</f>
        <v/>
      </c>
      <c r="F7" s="27">
        <f>E7/C7</f>
        <v/>
      </c>
    </row>
    <row r="8"/>
    <row r="9">
      <c r="A9" s="28" t="inlineStr">
        <is>
          <t>* Lưu ý: Gói vé 690.000 VNĐ được tính toán dựa trên mức chi phí biến đổi được nâng cấp (F&amp;B và quà lưu niệm cao cấp hơn).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2026-07-10T05:33:24Z</dcterms:created>
  <dcterms:modified xmlns:dcterms="http://purl.org/dc/terms/" xmlns:xsi="http://www.w3.org/2001/XMLSchema-instance" xsi:type="dcterms:W3CDTF">2026-07-10T05:33:24Z</dcterms:modified>
</cp:coreProperties>
</file>